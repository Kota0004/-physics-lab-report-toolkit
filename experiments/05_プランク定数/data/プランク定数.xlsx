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27CDC59-C98D-4656-BD1B-76EAD290AD5C}" xr6:coauthVersionLast="47" xr6:coauthVersionMax="47" xr10:uidLastSave="{00000000-0000-0000-0000-000000000000}"/>
  <bookViews>
    <workbookView xWindow="-108" yWindow="-108" windowWidth="23256" windowHeight="12456" xr2:uid="{3540E6BB-CFA0-4B4D-92A0-3479391296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21" i="1" l="1"/>
  <c r="X20" i="1"/>
  <c r="AE21" i="1"/>
  <c r="AJ27" i="1" s="1"/>
  <c r="Y21" i="1"/>
  <c r="Z21" i="1"/>
  <c r="AA21" i="1"/>
  <c r="AB21" i="1"/>
  <c r="AC21" i="1"/>
  <c r="AD21" i="1"/>
  <c r="AE20" i="1"/>
  <c r="AH27" i="1" s="1"/>
  <c r="Y20" i="1"/>
  <c r="Z20" i="1"/>
  <c r="AA20" i="1"/>
  <c r="AB20" i="1"/>
  <c r="AC20" i="1"/>
  <c r="AD20" i="1"/>
  <c r="AJ23" i="1"/>
  <c r="AH23" i="1"/>
  <c r="AJ22" i="1"/>
  <c r="AH22" i="1"/>
  <c r="AJ20" i="1"/>
  <c r="AH20" i="1"/>
  <c r="AJ19" i="1"/>
  <c r="AH19" i="1"/>
  <c r="AE16" i="1"/>
  <c r="Y16" i="1"/>
  <c r="Z16" i="1"/>
  <c r="AA16" i="1"/>
  <c r="AB16" i="1"/>
  <c r="AC16" i="1"/>
  <c r="AD16" i="1"/>
  <c r="X16" i="1"/>
  <c r="Y11" i="1"/>
  <c r="Y15" i="1" s="1"/>
  <c r="Z11" i="1"/>
  <c r="Z14" i="1" s="1"/>
  <c r="AA11" i="1"/>
  <c r="AB11" i="1"/>
  <c r="AC11" i="1"/>
  <c r="AC14" i="1" s="1"/>
  <c r="AD11" i="1"/>
  <c r="AD14" i="1" s="1"/>
  <c r="X11" i="1"/>
  <c r="X15" i="1" s="1"/>
  <c r="AN22" i="1"/>
  <c r="AN21" i="1"/>
  <c r="AE13" i="1"/>
  <c r="AA14" i="1"/>
  <c r="AB14" i="1"/>
  <c r="AC15" i="1"/>
  <c r="AD15" i="1"/>
  <c r="AE12" i="1"/>
  <c r="T3" i="1"/>
  <c r="T4" i="1"/>
  <c r="T5" i="1"/>
  <c r="T6" i="1"/>
  <c r="T7" i="1"/>
  <c r="T8" i="1"/>
  <c r="T9" i="1"/>
  <c r="T10" i="1"/>
  <c r="T11" i="1"/>
  <c r="T2" i="1"/>
  <c r="AH28" i="1" l="1"/>
  <c r="AH29" i="1"/>
  <c r="AJ29" i="1"/>
  <c r="AJ28" i="1"/>
  <c r="Y14" i="1"/>
  <c r="AB15" i="1"/>
  <c r="AA15" i="1"/>
  <c r="Z15" i="1"/>
  <c r="X14" i="1"/>
  <c r="AE11" i="1"/>
  <c r="AE14" i="1" l="1"/>
  <c r="AE15" i="1"/>
</calcChain>
</file>

<file path=xl/sharedStrings.xml><?xml version="1.0" encoding="utf-8"?>
<sst xmlns="http://schemas.openxmlformats.org/spreadsheetml/2006/main" count="54" uniqueCount="40">
  <si>
    <t>μA</t>
    <phoneticPr fontId="1"/>
  </si>
  <si>
    <t>θ</t>
    <phoneticPr fontId="1"/>
  </si>
  <si>
    <t>V</t>
    <phoneticPr fontId="1"/>
  </si>
  <si>
    <t>1度</t>
    <rPh sb="1" eb="2">
      <t>ド</t>
    </rPh>
    <phoneticPr fontId="1"/>
  </si>
  <si>
    <t>０度</t>
    <rPh sb="1" eb="2">
      <t>ド</t>
    </rPh>
    <phoneticPr fontId="1"/>
  </si>
  <si>
    <t>ー１</t>
    <phoneticPr fontId="1"/>
  </si>
  <si>
    <t>ー２</t>
    <phoneticPr fontId="1"/>
  </si>
  <si>
    <t>ー３</t>
    <phoneticPr fontId="1"/>
  </si>
  <si>
    <t>ー４</t>
    <phoneticPr fontId="1"/>
  </si>
  <si>
    <t>ー５</t>
    <phoneticPr fontId="1"/>
  </si>
  <si>
    <t>y</t>
    <phoneticPr fontId="1"/>
  </si>
  <si>
    <t>λ（nm）</t>
    <phoneticPr fontId="1"/>
  </si>
  <si>
    <t>Vs</t>
    <phoneticPr fontId="1"/>
  </si>
  <si>
    <t>i</t>
    <phoneticPr fontId="1"/>
  </si>
  <si>
    <t>合計</t>
    <rPh sb="0" eb="2">
      <t>ゴウケイ</t>
    </rPh>
    <phoneticPr fontId="1"/>
  </si>
  <si>
    <t>φ</t>
    <phoneticPr fontId="1"/>
  </si>
  <si>
    <t>h</t>
    <phoneticPr fontId="1"/>
  </si>
  <si>
    <t>eφ</t>
    <phoneticPr fontId="1"/>
  </si>
  <si>
    <t>a(0.01)</t>
    <phoneticPr fontId="1"/>
  </si>
  <si>
    <t>c</t>
    <phoneticPr fontId="1"/>
  </si>
  <si>
    <t>e</t>
    <phoneticPr fontId="1"/>
  </si>
  <si>
    <t>a(0.02)</t>
    <phoneticPr fontId="1"/>
  </si>
  <si>
    <t>σVs</t>
    <phoneticPr fontId="1"/>
  </si>
  <si>
    <t>σa</t>
    <phoneticPr fontId="1"/>
  </si>
  <si>
    <t>σφ</t>
    <phoneticPr fontId="1"/>
  </si>
  <si>
    <t>表　　最小二乗法の計算表</t>
    <rPh sb="0" eb="1">
      <t>ヒョウ</t>
    </rPh>
    <rPh sb="3" eb="8">
      <t>サイショウニジョウホウ</t>
    </rPh>
    <rPh sb="9" eb="12">
      <t>ケイサンヒョウ</t>
    </rPh>
    <phoneticPr fontId="1"/>
  </si>
  <si>
    <t>(１/λ)*Vs　(0.01)</t>
    <phoneticPr fontId="1"/>
  </si>
  <si>
    <t>(１/λ)*Vs　(0.02)</t>
    <phoneticPr fontId="1"/>
  </si>
  <si>
    <t>２乗の計算（0.01）</t>
    <rPh sb="1" eb="2">
      <t>ジョウ</t>
    </rPh>
    <rPh sb="3" eb="5">
      <t>ケイサン</t>
    </rPh>
    <phoneticPr fontId="1"/>
  </si>
  <si>
    <t>２乗の計算（0.02）</t>
    <phoneticPr fontId="1"/>
  </si>
  <si>
    <t>表　　誤差の計算</t>
    <rPh sb="0" eb="1">
      <t>ヒョウ</t>
    </rPh>
    <rPh sb="3" eb="5">
      <t>ゴサ</t>
    </rPh>
    <rPh sb="6" eb="8">
      <t>ケイサン</t>
    </rPh>
    <phoneticPr fontId="1"/>
  </si>
  <si>
    <t>プランク定数　h</t>
    <rPh sb="4" eb="6">
      <t>テイスウ</t>
    </rPh>
    <phoneticPr fontId="1"/>
  </si>
  <si>
    <t>仕事関数　eφ</t>
    <rPh sb="0" eb="4">
      <t>シゴトカンスウ</t>
    </rPh>
    <phoneticPr fontId="1"/>
  </si>
  <si>
    <t>最小二乗法での傾きaと切片φ</t>
    <rPh sb="0" eb="5">
      <t>サイショウニジョウホウ</t>
    </rPh>
    <rPh sb="7" eb="8">
      <t>カタム</t>
    </rPh>
    <rPh sb="11" eb="13">
      <t>セッペン</t>
    </rPh>
    <phoneticPr fontId="1"/>
  </si>
  <si>
    <t>表　　グラフからの読み取り</t>
    <rPh sb="0" eb="1">
      <t>ヒョウ</t>
    </rPh>
    <rPh sb="9" eb="10">
      <t>ヨ</t>
    </rPh>
    <rPh sb="11" eb="12">
      <t>ト</t>
    </rPh>
    <phoneticPr fontId="1"/>
  </si>
  <si>
    <t>Vs(0.01)　［V］</t>
    <phoneticPr fontId="1"/>
  </si>
  <si>
    <t>Vs(0.02)　［V］</t>
    <phoneticPr fontId="1"/>
  </si>
  <si>
    <t>(1/λ)^2　［m^-2］</t>
    <phoneticPr fontId="1"/>
  </si>
  <si>
    <t>λ[nm]</t>
    <phoneticPr fontId="1"/>
  </si>
  <si>
    <t>１/λ[m^-1]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</si>
</sst>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　　光電流の阻止電圧依存性</a:t>
            </a:r>
          </a:p>
        </c:rich>
      </c:tx>
      <c:layout>
        <c:manualLayout>
          <c:xMode val="edge"/>
          <c:yMode val="edge"/>
          <c:x val="0.32703995514217249"/>
          <c:y val="0.898280498291914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8.7568448163133722E-2"/>
          <c:y val="8.2552503103259858E-2"/>
          <c:w val="0.89263061549076683"/>
          <c:h val="0.72937299053324778"/>
        </c:manualLayout>
      </c:layout>
      <c:scatterChart>
        <c:scatterStyle val="smoothMarker"/>
        <c:varyColors val="0"/>
        <c:ser>
          <c:idx val="1"/>
          <c:order val="0"/>
          <c:tx>
            <c:v>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Sheet1!$E$3:$E$28</c:f>
              <c:numCache>
                <c:formatCode>General</c:formatCode>
                <c:ptCount val="2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</c:numCache>
            </c:numRef>
          </c:xVal>
          <c:yVal>
            <c:numRef>
              <c:f>Sheet1!$F$3:$F$14</c:f>
              <c:numCache>
                <c:formatCode>General</c:formatCode>
                <c:ptCount val="12"/>
                <c:pt idx="0">
                  <c:v>20</c:v>
                </c:pt>
                <c:pt idx="1">
                  <c:v>17.100000000000001</c:v>
                </c:pt>
                <c:pt idx="2">
                  <c:v>13.8</c:v>
                </c:pt>
                <c:pt idx="3">
                  <c:v>11</c:v>
                </c:pt>
                <c:pt idx="4">
                  <c:v>7.9</c:v>
                </c:pt>
                <c:pt idx="5">
                  <c:v>5</c:v>
                </c:pt>
                <c:pt idx="6">
                  <c:v>2.9</c:v>
                </c:pt>
                <c:pt idx="7">
                  <c:v>1.6</c:v>
                </c:pt>
                <c:pt idx="8">
                  <c:v>0.9</c:v>
                </c:pt>
                <c:pt idx="9">
                  <c:v>0.13</c:v>
                </c:pt>
                <c:pt idx="10">
                  <c:v>4.2999999999999997E-2</c:v>
                </c:pt>
                <c:pt idx="11">
                  <c:v>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D2-4F64-A6A3-7D9C6DCE0215}"/>
            </c:ext>
          </c:extLst>
        </c:ser>
        <c:ser>
          <c:idx val="2"/>
          <c:order val="1"/>
          <c:tx>
            <c:v>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Sheet1!$E$3:$E$28</c:f>
              <c:numCache>
                <c:formatCode>General</c:formatCode>
                <c:ptCount val="2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</c:numCache>
            </c:numRef>
          </c:xVal>
          <c:yVal>
            <c:numRef>
              <c:f>Sheet1!$H$3:$H$17</c:f>
              <c:numCache>
                <c:formatCode>General</c:formatCode>
                <c:ptCount val="15"/>
                <c:pt idx="0">
                  <c:v>20</c:v>
                </c:pt>
                <c:pt idx="1">
                  <c:v>17.5</c:v>
                </c:pt>
                <c:pt idx="2">
                  <c:v>15.2</c:v>
                </c:pt>
                <c:pt idx="3">
                  <c:v>12.2</c:v>
                </c:pt>
                <c:pt idx="4">
                  <c:v>9.9</c:v>
                </c:pt>
                <c:pt idx="5">
                  <c:v>7.7</c:v>
                </c:pt>
                <c:pt idx="6">
                  <c:v>5.7</c:v>
                </c:pt>
                <c:pt idx="7">
                  <c:v>3.9</c:v>
                </c:pt>
                <c:pt idx="8">
                  <c:v>2</c:v>
                </c:pt>
                <c:pt idx="9">
                  <c:v>1.1000000000000001</c:v>
                </c:pt>
                <c:pt idx="10">
                  <c:v>0.41</c:v>
                </c:pt>
                <c:pt idx="11">
                  <c:v>0.18</c:v>
                </c:pt>
                <c:pt idx="12">
                  <c:v>5.8000000000000003E-2</c:v>
                </c:pt>
                <c:pt idx="13">
                  <c:v>1.7999999999999999E-2</c:v>
                </c:pt>
                <c:pt idx="14">
                  <c:v>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D2-4F64-A6A3-7D9C6DCE0215}"/>
            </c:ext>
          </c:extLst>
        </c:ser>
        <c:ser>
          <c:idx val="3"/>
          <c:order val="2"/>
          <c:tx>
            <c:v>-1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Sheet1!$E$3:$E$28</c:f>
              <c:numCache>
                <c:formatCode>General</c:formatCode>
                <c:ptCount val="2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</c:numCache>
            </c:numRef>
          </c:xVal>
          <c:yVal>
            <c:numRef>
              <c:f>Sheet1!$J$3:$J$19</c:f>
              <c:numCache>
                <c:formatCode>General</c:formatCode>
                <c:ptCount val="17"/>
                <c:pt idx="0">
                  <c:v>20</c:v>
                </c:pt>
                <c:pt idx="1">
                  <c:v>17</c:v>
                </c:pt>
                <c:pt idx="2">
                  <c:v>15.7</c:v>
                </c:pt>
                <c:pt idx="3">
                  <c:v>12.5</c:v>
                </c:pt>
                <c:pt idx="4">
                  <c:v>10.4</c:v>
                </c:pt>
                <c:pt idx="5">
                  <c:v>8.1999999999999993</c:v>
                </c:pt>
                <c:pt idx="6">
                  <c:v>6.2</c:v>
                </c:pt>
                <c:pt idx="7">
                  <c:v>5</c:v>
                </c:pt>
                <c:pt idx="8">
                  <c:v>3.8</c:v>
                </c:pt>
                <c:pt idx="9">
                  <c:v>2.1</c:v>
                </c:pt>
                <c:pt idx="10">
                  <c:v>1.1000000000000001</c:v>
                </c:pt>
                <c:pt idx="11">
                  <c:v>0.63</c:v>
                </c:pt>
                <c:pt idx="12">
                  <c:v>0.309</c:v>
                </c:pt>
                <c:pt idx="13">
                  <c:v>0.11899999999999999</c:v>
                </c:pt>
                <c:pt idx="14">
                  <c:v>3.9E-2</c:v>
                </c:pt>
                <c:pt idx="15">
                  <c:v>0.01</c:v>
                </c:pt>
                <c:pt idx="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2D2-4F64-A6A3-7D9C6DCE0215}"/>
            </c:ext>
          </c:extLst>
        </c:ser>
        <c:ser>
          <c:idx val="4"/>
          <c:order val="3"/>
          <c:tx>
            <c:v>-2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Sheet1!$E$3:$E$28</c:f>
              <c:numCache>
                <c:formatCode>General</c:formatCode>
                <c:ptCount val="2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</c:numCache>
            </c:numRef>
          </c:xVal>
          <c:yVal>
            <c:numRef>
              <c:f>Sheet1!$L$3:$L$20</c:f>
              <c:numCache>
                <c:formatCode>General</c:formatCode>
                <c:ptCount val="18"/>
                <c:pt idx="0">
                  <c:v>20</c:v>
                </c:pt>
                <c:pt idx="1">
                  <c:v>18.3</c:v>
                </c:pt>
                <c:pt idx="2">
                  <c:v>16</c:v>
                </c:pt>
                <c:pt idx="3">
                  <c:v>14</c:v>
                </c:pt>
                <c:pt idx="4">
                  <c:v>11.8</c:v>
                </c:pt>
                <c:pt idx="5">
                  <c:v>9.9</c:v>
                </c:pt>
                <c:pt idx="6">
                  <c:v>7.7</c:v>
                </c:pt>
                <c:pt idx="7">
                  <c:v>6</c:v>
                </c:pt>
                <c:pt idx="8">
                  <c:v>4.2</c:v>
                </c:pt>
                <c:pt idx="9">
                  <c:v>3.8</c:v>
                </c:pt>
                <c:pt idx="10">
                  <c:v>2</c:v>
                </c:pt>
                <c:pt idx="11">
                  <c:v>1.1000000000000001</c:v>
                </c:pt>
                <c:pt idx="12">
                  <c:v>0.65800000000000003</c:v>
                </c:pt>
                <c:pt idx="13">
                  <c:v>0.38500000000000001</c:v>
                </c:pt>
                <c:pt idx="14">
                  <c:v>0.158</c:v>
                </c:pt>
                <c:pt idx="15">
                  <c:v>6.2E-2</c:v>
                </c:pt>
                <c:pt idx="16">
                  <c:v>1.4999999999999999E-2</c:v>
                </c:pt>
                <c:pt idx="17">
                  <c:v>4.0000000000000001E-3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2D2-4F64-A6A3-7D9C6DCE0215}"/>
            </c:ext>
          </c:extLst>
        </c:ser>
        <c:ser>
          <c:idx val="5"/>
          <c:order val="4"/>
          <c:tx>
            <c:v>-3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Sheet1!$E$3:$E$28</c:f>
              <c:numCache>
                <c:formatCode>General</c:formatCode>
                <c:ptCount val="2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</c:numCache>
            </c:numRef>
          </c:xVal>
          <c:yVal>
            <c:numRef>
              <c:f>Sheet1!$N$3:$N$22</c:f>
              <c:numCache>
                <c:formatCode>General</c:formatCode>
                <c:ptCount val="20"/>
                <c:pt idx="0">
                  <c:v>20</c:v>
                </c:pt>
                <c:pt idx="1">
                  <c:v>18.2</c:v>
                </c:pt>
                <c:pt idx="2">
                  <c:v>16</c:v>
                </c:pt>
                <c:pt idx="3">
                  <c:v>14.3</c:v>
                </c:pt>
                <c:pt idx="4">
                  <c:v>12.2</c:v>
                </c:pt>
                <c:pt idx="5">
                  <c:v>10.1</c:v>
                </c:pt>
                <c:pt idx="6">
                  <c:v>8.5</c:v>
                </c:pt>
                <c:pt idx="7">
                  <c:v>7.1</c:v>
                </c:pt>
                <c:pt idx="8">
                  <c:v>5.2</c:v>
                </c:pt>
                <c:pt idx="9">
                  <c:v>4</c:v>
                </c:pt>
                <c:pt idx="10">
                  <c:v>3</c:v>
                </c:pt>
                <c:pt idx="11">
                  <c:v>2.4</c:v>
                </c:pt>
                <c:pt idx="12">
                  <c:v>1.1000000000000001</c:v>
                </c:pt>
                <c:pt idx="13">
                  <c:v>0.9</c:v>
                </c:pt>
                <c:pt idx="14">
                  <c:v>0.46</c:v>
                </c:pt>
                <c:pt idx="15">
                  <c:v>0.27800000000000002</c:v>
                </c:pt>
                <c:pt idx="16">
                  <c:v>0.11600000000000001</c:v>
                </c:pt>
                <c:pt idx="17">
                  <c:v>5.1999999999999998E-2</c:v>
                </c:pt>
                <c:pt idx="18">
                  <c:v>1.4999999999999999E-2</c:v>
                </c:pt>
                <c:pt idx="19">
                  <c:v>5.0000000000000001E-3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2D2-4F64-A6A3-7D9C6DCE0215}"/>
            </c:ext>
          </c:extLst>
        </c:ser>
        <c:ser>
          <c:idx val="6"/>
          <c:order val="5"/>
          <c:tx>
            <c:v>-4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Sheet1!$E$3:$E$28</c:f>
              <c:numCache>
                <c:formatCode>General</c:formatCode>
                <c:ptCount val="2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</c:numCache>
            </c:numRef>
          </c:xVal>
          <c:yVal>
            <c:numRef>
              <c:f>Sheet1!$P$3:$P$25</c:f>
              <c:numCache>
                <c:formatCode>General</c:formatCode>
                <c:ptCount val="23"/>
                <c:pt idx="0">
                  <c:v>20</c:v>
                </c:pt>
                <c:pt idx="1">
                  <c:v>17.899999999999999</c:v>
                </c:pt>
                <c:pt idx="2">
                  <c:v>16.5</c:v>
                </c:pt>
                <c:pt idx="3">
                  <c:v>14.2</c:v>
                </c:pt>
                <c:pt idx="4">
                  <c:v>13</c:v>
                </c:pt>
                <c:pt idx="5">
                  <c:v>11.3</c:v>
                </c:pt>
                <c:pt idx="6">
                  <c:v>9.9</c:v>
                </c:pt>
                <c:pt idx="7">
                  <c:v>8</c:v>
                </c:pt>
                <c:pt idx="8">
                  <c:v>6.3</c:v>
                </c:pt>
                <c:pt idx="9">
                  <c:v>5.8</c:v>
                </c:pt>
                <c:pt idx="10">
                  <c:v>4.0999999999999996</c:v>
                </c:pt>
                <c:pt idx="11">
                  <c:v>3.3</c:v>
                </c:pt>
                <c:pt idx="12">
                  <c:v>2.1</c:v>
                </c:pt>
                <c:pt idx="13">
                  <c:v>1.8</c:v>
                </c:pt>
                <c:pt idx="14">
                  <c:v>0.9</c:v>
                </c:pt>
                <c:pt idx="15">
                  <c:v>0.62</c:v>
                </c:pt>
                <c:pt idx="16">
                  <c:v>0.34300000000000003</c:v>
                </c:pt>
                <c:pt idx="17">
                  <c:v>0.161</c:v>
                </c:pt>
                <c:pt idx="18">
                  <c:v>7.9000000000000001E-2</c:v>
                </c:pt>
                <c:pt idx="19">
                  <c:v>0.04</c:v>
                </c:pt>
                <c:pt idx="20">
                  <c:v>1.9E-2</c:v>
                </c:pt>
                <c:pt idx="21">
                  <c:v>0.01</c:v>
                </c:pt>
                <c:pt idx="22">
                  <c:v>5.0000000000000001E-3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2D2-4F64-A6A3-7D9C6DCE0215}"/>
            </c:ext>
          </c:extLst>
        </c:ser>
        <c:ser>
          <c:idx val="7"/>
          <c:order val="6"/>
          <c:tx>
            <c:v>-5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Sheet1!$E$3:$E$28</c:f>
              <c:numCache>
                <c:formatCode>General</c:formatCode>
                <c:ptCount val="2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</c:numCache>
            </c:numRef>
          </c:xVal>
          <c:yVal>
            <c:numRef>
              <c:f>Sheet1!$R$3:$R$27</c:f>
              <c:numCache>
                <c:formatCode>General</c:formatCode>
                <c:ptCount val="25"/>
                <c:pt idx="0">
                  <c:v>20</c:v>
                </c:pt>
                <c:pt idx="1">
                  <c:v>17.899999999999999</c:v>
                </c:pt>
                <c:pt idx="2">
                  <c:v>16.2</c:v>
                </c:pt>
                <c:pt idx="3">
                  <c:v>14.2</c:v>
                </c:pt>
                <c:pt idx="4">
                  <c:v>13.7</c:v>
                </c:pt>
                <c:pt idx="5">
                  <c:v>11.9</c:v>
                </c:pt>
                <c:pt idx="6">
                  <c:v>10</c:v>
                </c:pt>
                <c:pt idx="7">
                  <c:v>8.5</c:v>
                </c:pt>
                <c:pt idx="8">
                  <c:v>7.9</c:v>
                </c:pt>
                <c:pt idx="9">
                  <c:v>6.1</c:v>
                </c:pt>
                <c:pt idx="10">
                  <c:v>5.8</c:v>
                </c:pt>
                <c:pt idx="11">
                  <c:v>4.0999999999999996</c:v>
                </c:pt>
                <c:pt idx="12">
                  <c:v>3.2</c:v>
                </c:pt>
                <c:pt idx="13">
                  <c:v>2.2000000000000002</c:v>
                </c:pt>
                <c:pt idx="14">
                  <c:v>1.9</c:v>
                </c:pt>
                <c:pt idx="15">
                  <c:v>1.1000000000000001</c:v>
                </c:pt>
                <c:pt idx="16">
                  <c:v>0.872</c:v>
                </c:pt>
                <c:pt idx="17">
                  <c:v>0.54100000000000004</c:v>
                </c:pt>
                <c:pt idx="18">
                  <c:v>0.35899999999999999</c:v>
                </c:pt>
                <c:pt idx="19">
                  <c:v>0.21299999999999999</c:v>
                </c:pt>
                <c:pt idx="20">
                  <c:v>0.11899999999999999</c:v>
                </c:pt>
                <c:pt idx="21">
                  <c:v>5.8000000000000003E-2</c:v>
                </c:pt>
                <c:pt idx="22">
                  <c:v>0.03</c:v>
                </c:pt>
                <c:pt idx="23">
                  <c:v>1.7999999999999999E-2</c:v>
                </c:pt>
                <c:pt idx="24">
                  <c:v>5.0000000000000001E-3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2D2-4F64-A6A3-7D9C6DCE0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085552"/>
        <c:axId val="351087952"/>
      </c:scatterChart>
      <c:valAx>
        <c:axId val="351085552"/>
        <c:scaling>
          <c:logBase val="10"/>
          <c:orientation val="minMax"/>
          <c:max val="5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阻止電圧［</a:t>
                </a:r>
                <a:r>
                  <a:rPr lang="en-US" altLang="ja-JP"/>
                  <a:t>V</a:t>
                </a:r>
                <a:r>
                  <a:rPr lang="ja-JP" altLang="en-US"/>
                  <a:t>］</a:t>
                </a:r>
              </a:p>
            </c:rich>
          </c:tx>
          <c:layout>
            <c:manualLayout>
              <c:xMode val="edge"/>
              <c:yMode val="edge"/>
              <c:x val="0.43696652228679589"/>
              <c:y val="0.827684800624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1087952"/>
        <c:crosses val="autoZero"/>
        <c:crossBetween val="midCat"/>
      </c:valAx>
      <c:valAx>
        <c:axId val="3510879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光電流［</a:t>
                </a:r>
                <a:r>
                  <a:rPr lang="en-US" altLang="ja-JP"/>
                  <a:t>μA</a:t>
                </a:r>
                <a:r>
                  <a:rPr lang="ja-JP" altLang="en-US"/>
                  <a:t>］</a:t>
                </a:r>
              </a:p>
            </c:rich>
          </c:tx>
          <c:layout>
            <c:manualLayout>
              <c:xMode val="edge"/>
              <c:yMode val="edge"/>
              <c:x val="3.5784824721866323E-2"/>
              <c:y val="0.402587628571747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1085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943689502307999"/>
          <c:y val="0.16245818716679511"/>
          <c:w val="0.10494956488212552"/>
          <c:h val="0.619538066171716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　　光の波長の逆数に対する阻止電圧の依存性</a:t>
            </a:r>
          </a:p>
        </c:rich>
      </c:tx>
      <c:layout>
        <c:manualLayout>
          <c:xMode val="edge"/>
          <c:yMode val="edge"/>
          <c:x val="0.14440249691122001"/>
          <c:y val="0.832104962534429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1915707533907"/>
          <c:y val="6.9395165057297134E-2"/>
          <c:w val="0.81704832178104192"/>
          <c:h val="0.60814072834498789"/>
        </c:manualLayout>
      </c:layout>
      <c:scatterChart>
        <c:scatterStyle val="lineMarker"/>
        <c:varyColors val="0"/>
        <c:ser>
          <c:idx val="0"/>
          <c:order val="0"/>
          <c:tx>
            <c:v>0.01μA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5352143482064746E-2"/>
                  <c:y val="0.153547681539807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Sheet1!$X$11:$AD$11</c:f>
              <c:numCache>
                <c:formatCode>General</c:formatCode>
                <c:ptCount val="7"/>
                <c:pt idx="0">
                  <c:v>1680672.2689075631</c:v>
                </c:pt>
                <c:pt idx="1">
                  <c:v>1739130.4347826086</c:v>
                </c:pt>
                <c:pt idx="2">
                  <c:v>1801801.8018018019</c:v>
                </c:pt>
                <c:pt idx="3">
                  <c:v>1869158.878504673</c:v>
                </c:pt>
                <c:pt idx="4">
                  <c:v>1941747.572815534</c:v>
                </c:pt>
                <c:pt idx="5">
                  <c:v>2020202.0202020202</c:v>
                </c:pt>
                <c:pt idx="6">
                  <c:v>2105263.1578947366</c:v>
                </c:pt>
              </c:numCache>
            </c:numRef>
          </c:xVal>
          <c:yVal>
            <c:numRef>
              <c:f>Sheet1!$X$12:$AD$12</c:f>
              <c:numCache>
                <c:formatCode>General</c:formatCode>
                <c:ptCount val="7"/>
                <c:pt idx="0">
                  <c:v>0.54</c:v>
                </c:pt>
                <c:pt idx="1">
                  <c:v>0.65</c:v>
                </c:pt>
                <c:pt idx="2">
                  <c:v>0.74</c:v>
                </c:pt>
                <c:pt idx="3">
                  <c:v>0.81</c:v>
                </c:pt>
                <c:pt idx="4">
                  <c:v>0.92</c:v>
                </c:pt>
                <c:pt idx="5">
                  <c:v>1.05</c:v>
                </c:pt>
                <c:pt idx="6">
                  <c:v>1.17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A1-4FDB-B235-790999C22ED4}"/>
            </c:ext>
          </c:extLst>
        </c:ser>
        <c:ser>
          <c:idx val="1"/>
          <c:order val="1"/>
          <c:tx>
            <c:v>0.02μA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2648118985126858"/>
                  <c:y val="1.165791776027996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Sheet1!$X$11:$AD$11</c:f>
              <c:numCache>
                <c:formatCode>General</c:formatCode>
                <c:ptCount val="7"/>
                <c:pt idx="0">
                  <c:v>1680672.2689075631</c:v>
                </c:pt>
                <c:pt idx="1">
                  <c:v>1739130.4347826086</c:v>
                </c:pt>
                <c:pt idx="2">
                  <c:v>1801801.8018018019</c:v>
                </c:pt>
                <c:pt idx="3">
                  <c:v>1869158.878504673</c:v>
                </c:pt>
                <c:pt idx="4">
                  <c:v>1941747.572815534</c:v>
                </c:pt>
                <c:pt idx="5">
                  <c:v>2020202.0202020202</c:v>
                </c:pt>
                <c:pt idx="6">
                  <c:v>2105263.1578947366</c:v>
                </c:pt>
              </c:numCache>
            </c:numRef>
          </c:xVal>
          <c:yVal>
            <c:numRef>
              <c:f>Sheet1!$X$13:$AD$13</c:f>
              <c:numCache>
                <c:formatCode>General</c:formatCode>
                <c:ptCount val="7"/>
                <c:pt idx="0">
                  <c:v>0.53</c:v>
                </c:pt>
                <c:pt idx="1">
                  <c:v>0.64</c:v>
                </c:pt>
                <c:pt idx="2">
                  <c:v>0.73</c:v>
                </c:pt>
                <c:pt idx="3">
                  <c:v>0.79</c:v>
                </c:pt>
                <c:pt idx="4">
                  <c:v>0.91</c:v>
                </c:pt>
                <c:pt idx="5">
                  <c:v>1.01</c:v>
                </c:pt>
                <c:pt idx="6">
                  <c:v>1.1399999999999999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A1-4FDB-B235-790999C22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273647"/>
        <c:axId val="1166270767"/>
      </c:scatterChart>
      <c:valAx>
        <c:axId val="1166273647"/>
        <c:scaling>
          <c:orientation val="minMax"/>
          <c:min val="15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1/λ</a:t>
                </a:r>
                <a:r>
                  <a:rPr lang="ja-JP" altLang="en-US"/>
                  <a:t>［ｍ</a:t>
                </a:r>
                <a:r>
                  <a:rPr lang="en-US" altLang="ja-JP"/>
                  <a:t>^-1</a:t>
                </a:r>
                <a:r>
                  <a:rPr lang="ja-JP" altLang="en-US"/>
                  <a:t>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6270767"/>
        <c:crosses val="autoZero"/>
        <c:crossBetween val="midCat"/>
      </c:valAx>
      <c:valAx>
        <c:axId val="116627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阻止電圧［</a:t>
                </a:r>
                <a:r>
                  <a:rPr lang="en-US" altLang="ja-JP"/>
                  <a:t>Vs</a:t>
                </a:r>
                <a:r>
                  <a:rPr lang="ja-JP" altLang="en-US"/>
                  <a:t>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66273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65522307706366"/>
          <c:y val="0.55458449299687573"/>
          <c:w val="0.69026574031969679"/>
          <c:h val="6.71859785783836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　　</a:t>
            </a:r>
            <a:r>
              <a:rPr lang="en-US" altLang="ja-JP"/>
              <a:t>LED</a:t>
            </a:r>
            <a:r>
              <a:rPr lang="ja-JP" altLang="en-US"/>
              <a:t>ランプの波長特性</a:t>
            </a:r>
          </a:p>
        </c:rich>
      </c:tx>
      <c:layout>
        <c:manualLayout>
          <c:xMode val="edge"/>
          <c:yMode val="edge"/>
          <c:x val="0.29104899915565785"/>
          <c:y val="0.841085271317829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2713069389035087"/>
          <c:y val="3.2674418604651166E-2"/>
          <c:w val="0.8295983463804345"/>
          <c:h val="0.7125581395348836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615</c:v>
                </c:pt>
                <c:pt idx="1">
                  <c:v>595</c:v>
                </c:pt>
                <c:pt idx="2">
                  <c:v>575</c:v>
                </c:pt>
                <c:pt idx="3">
                  <c:v>555</c:v>
                </c:pt>
                <c:pt idx="4">
                  <c:v>535</c:v>
                </c:pt>
                <c:pt idx="5">
                  <c:v>515</c:v>
                </c:pt>
                <c:pt idx="6">
                  <c:v>495</c:v>
                </c:pt>
                <c:pt idx="7">
                  <c:v>475</c:v>
                </c:pt>
                <c:pt idx="8">
                  <c:v>455</c:v>
                </c:pt>
                <c:pt idx="9">
                  <c:v>435</c:v>
                </c:pt>
              </c:numCache>
            </c:num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19</c:v>
                </c:pt>
                <c:pt idx="1">
                  <c:v>39.799999999999997</c:v>
                </c:pt>
                <c:pt idx="2">
                  <c:v>48.6</c:v>
                </c:pt>
                <c:pt idx="3">
                  <c:v>51.9</c:v>
                </c:pt>
                <c:pt idx="4">
                  <c:v>54.1</c:v>
                </c:pt>
                <c:pt idx="5">
                  <c:v>46.2</c:v>
                </c:pt>
                <c:pt idx="6">
                  <c:v>43.8</c:v>
                </c:pt>
                <c:pt idx="7">
                  <c:v>42.4</c:v>
                </c:pt>
                <c:pt idx="8">
                  <c:v>4.0999999999999996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97-4719-A673-70B3AA3E1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174559"/>
        <c:axId val="994179839"/>
      </c:scatterChart>
      <c:valAx>
        <c:axId val="994174559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波長［</a:t>
                </a:r>
                <a:r>
                  <a:rPr lang="en-US" altLang="ja-JP"/>
                  <a:t>nm</a:t>
                </a:r>
                <a:r>
                  <a:rPr lang="ja-JP" altLang="en-US"/>
                  <a:t>］</a:t>
                </a:r>
              </a:p>
            </c:rich>
          </c:tx>
          <c:layout>
            <c:manualLayout>
              <c:xMode val="edge"/>
              <c:yMode val="edge"/>
              <c:x val="0.47291220121202537"/>
              <c:y val="0.752984496124031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4179839"/>
        <c:crosses val="autoZero"/>
        <c:crossBetween val="midCat"/>
      </c:valAx>
      <c:valAx>
        <c:axId val="99417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光強度［</a:t>
                </a:r>
                <a:r>
                  <a:rPr lang="en-US" altLang="ja-JP"/>
                  <a:t>μA</a:t>
                </a:r>
                <a:r>
                  <a:rPr lang="ja-JP" altLang="en-US"/>
                  <a:t>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4174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381378</xdr:colOff>
      <xdr:row>28</xdr:row>
      <xdr:rowOff>217971</xdr:rowOff>
    </xdr:from>
    <xdr:to>
      <xdr:col>21</xdr:col>
      <xdr:colOff>125069</xdr:colOff>
      <xdr:row>50</xdr:row>
      <xdr:rowOff>24009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6B2FD50-398A-0F72-D638-AA9A7052C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393160</xdr:colOff>
      <xdr:row>29</xdr:row>
      <xdr:rowOff>75852</xdr:rowOff>
    </xdr:from>
    <xdr:to>
      <xdr:col>29</xdr:col>
      <xdr:colOff>54660</xdr:colOff>
      <xdr:row>43</xdr:row>
      <xdr:rowOff>65314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A1492390-AC1E-92F6-C3DC-D94119A4F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326570</xdr:colOff>
      <xdr:row>31</xdr:row>
      <xdr:rowOff>130629</xdr:rowOff>
    </xdr:from>
    <xdr:to>
      <xdr:col>8</xdr:col>
      <xdr:colOff>163285</xdr:colOff>
      <xdr:row>45</xdr:row>
      <xdr:rowOff>206829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16F20E54-42E1-B02C-E2A5-FD7B625F9E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8AFB-DBFF-4C1F-B562-01FDB9056E91}">
  <dimension ref="A1:AN36"/>
  <sheetViews>
    <sheetView tabSelected="1" topLeftCell="B1" zoomScale="70" zoomScaleNormal="70" workbookViewId="0">
      <selection activeCell="AF40" sqref="AF40"/>
    </sheetView>
  </sheetViews>
  <sheetFormatPr defaultRowHeight="18" x14ac:dyDescent="0.45"/>
  <cols>
    <col min="23" max="23" width="18.09765625" bestFit="1" customWidth="1"/>
    <col min="24" max="24" width="14" bestFit="1" customWidth="1"/>
    <col min="25" max="31" width="13.5" bestFit="1" customWidth="1"/>
    <col min="32" max="32" width="13.8984375" bestFit="1" customWidth="1"/>
    <col min="33" max="33" width="16.5" bestFit="1" customWidth="1"/>
    <col min="34" max="34" width="13" bestFit="1" customWidth="1"/>
    <col min="35" max="35" width="10.796875" customWidth="1"/>
    <col min="36" max="36" width="13.5" bestFit="1" customWidth="1"/>
  </cols>
  <sheetData>
    <row r="1" spans="1:32" x14ac:dyDescent="0.45">
      <c r="A1" t="s">
        <v>11</v>
      </c>
      <c r="B1" t="s">
        <v>1</v>
      </c>
      <c r="C1" t="s">
        <v>0</v>
      </c>
      <c r="E1" t="s">
        <v>3</v>
      </c>
      <c r="G1" t="s">
        <v>4</v>
      </c>
      <c r="I1" t="s">
        <v>5</v>
      </c>
      <c r="K1" t="s">
        <v>6</v>
      </c>
      <c r="M1" t="s">
        <v>7</v>
      </c>
      <c r="O1" t="s">
        <v>8</v>
      </c>
      <c r="Q1" t="s">
        <v>9</v>
      </c>
      <c r="T1" t="s">
        <v>10</v>
      </c>
      <c r="Z1" t="s">
        <v>34</v>
      </c>
    </row>
    <row r="2" spans="1:32" x14ac:dyDescent="0.45">
      <c r="A2">
        <v>615</v>
      </c>
      <c r="B2">
        <v>2</v>
      </c>
      <c r="C2">
        <v>19</v>
      </c>
      <c r="E2" t="s">
        <v>2</v>
      </c>
      <c r="F2" t="s">
        <v>0</v>
      </c>
      <c r="H2" t="s">
        <v>0</v>
      </c>
      <c r="J2" t="s">
        <v>0</v>
      </c>
      <c r="L2" t="s">
        <v>0</v>
      </c>
      <c r="N2" t="s">
        <v>0</v>
      </c>
      <c r="P2" t="s">
        <v>0</v>
      </c>
      <c r="R2" t="s">
        <v>0</v>
      </c>
      <c r="T2">
        <f>B2*20+575</f>
        <v>615</v>
      </c>
      <c r="Y2" s="1"/>
      <c r="Z2" s="1">
        <v>1</v>
      </c>
      <c r="AA2" s="1">
        <v>0</v>
      </c>
      <c r="AB2" s="1">
        <v>-1</v>
      </c>
      <c r="AC2" s="1">
        <v>-2</v>
      </c>
      <c r="AD2" s="1">
        <v>-3</v>
      </c>
      <c r="AE2" s="1">
        <v>-4</v>
      </c>
      <c r="AF2" s="1">
        <v>-5</v>
      </c>
    </row>
    <row r="3" spans="1:32" x14ac:dyDescent="0.45">
      <c r="A3">
        <v>595</v>
      </c>
      <c r="B3">
        <v>1</v>
      </c>
      <c r="C3">
        <v>39.799999999999997</v>
      </c>
      <c r="E3">
        <v>0</v>
      </c>
      <c r="F3">
        <v>20</v>
      </c>
      <c r="H3">
        <v>20</v>
      </c>
      <c r="J3">
        <v>20</v>
      </c>
      <c r="L3">
        <v>20</v>
      </c>
      <c r="N3">
        <v>20</v>
      </c>
      <c r="P3">
        <v>20</v>
      </c>
      <c r="R3">
        <v>20</v>
      </c>
      <c r="T3">
        <f>B3*20+575</f>
        <v>595</v>
      </c>
      <c r="Y3" s="7" t="s">
        <v>0</v>
      </c>
      <c r="Z3" s="7" t="s">
        <v>12</v>
      </c>
      <c r="AA3" s="1"/>
      <c r="AB3" s="1"/>
      <c r="AC3" s="1"/>
      <c r="AD3" s="1"/>
      <c r="AE3" s="1"/>
      <c r="AF3" s="1"/>
    </row>
    <row r="4" spans="1:32" x14ac:dyDescent="0.45">
      <c r="A4">
        <v>575</v>
      </c>
      <c r="B4">
        <v>0</v>
      </c>
      <c r="C4">
        <v>48.6</v>
      </c>
      <c r="E4">
        <v>0.05</v>
      </c>
      <c r="F4">
        <v>17.100000000000001</v>
      </c>
      <c r="H4">
        <v>17.5</v>
      </c>
      <c r="J4">
        <v>17</v>
      </c>
      <c r="L4">
        <v>18.3</v>
      </c>
      <c r="N4">
        <v>18.2</v>
      </c>
      <c r="P4">
        <v>17.899999999999999</v>
      </c>
      <c r="R4">
        <v>17.899999999999999</v>
      </c>
      <c r="T4">
        <f>B4*20+575</f>
        <v>575</v>
      </c>
      <c r="Y4" s="1">
        <v>0.01</v>
      </c>
      <c r="Z4" s="1">
        <v>0.54</v>
      </c>
      <c r="AA4" s="1">
        <v>0.65</v>
      </c>
      <c r="AB4" s="1">
        <v>0.74</v>
      </c>
      <c r="AC4" s="1">
        <v>0.81</v>
      </c>
      <c r="AD4" s="1">
        <v>0.92</v>
      </c>
      <c r="AE4" s="1">
        <v>1.05</v>
      </c>
      <c r="AF4" s="1">
        <v>1.17</v>
      </c>
    </row>
    <row r="5" spans="1:32" x14ac:dyDescent="0.45">
      <c r="A5">
        <v>555</v>
      </c>
      <c r="B5">
        <v>-1</v>
      </c>
      <c r="C5">
        <v>51.9</v>
      </c>
      <c r="E5">
        <v>0.1</v>
      </c>
      <c r="F5">
        <v>13.8</v>
      </c>
      <c r="H5">
        <v>15.2</v>
      </c>
      <c r="J5">
        <v>15.7</v>
      </c>
      <c r="L5">
        <v>16</v>
      </c>
      <c r="N5">
        <v>16</v>
      </c>
      <c r="P5">
        <v>16.5</v>
      </c>
      <c r="R5">
        <v>16.2</v>
      </c>
      <c r="T5">
        <f>B5*20+575</f>
        <v>555</v>
      </c>
      <c r="Y5" s="1">
        <v>0.02</v>
      </c>
      <c r="Z5" s="1">
        <v>0.53</v>
      </c>
      <c r="AA5" s="1">
        <v>0.64</v>
      </c>
      <c r="AB5" s="1">
        <v>0.73</v>
      </c>
      <c r="AC5" s="1">
        <v>0.79</v>
      </c>
      <c r="AD5" s="1">
        <v>0.91</v>
      </c>
      <c r="AE5" s="1">
        <v>1.01</v>
      </c>
      <c r="AF5" s="1">
        <v>1.1399999999999999</v>
      </c>
    </row>
    <row r="6" spans="1:32" x14ac:dyDescent="0.45">
      <c r="A6">
        <v>535</v>
      </c>
      <c r="B6">
        <v>-2</v>
      </c>
      <c r="C6">
        <v>54.1</v>
      </c>
      <c r="E6">
        <v>0.15</v>
      </c>
      <c r="F6">
        <v>11</v>
      </c>
      <c r="H6">
        <v>12.2</v>
      </c>
      <c r="J6">
        <v>12.5</v>
      </c>
      <c r="L6">
        <v>14</v>
      </c>
      <c r="N6">
        <v>14.3</v>
      </c>
      <c r="P6">
        <v>14.2</v>
      </c>
      <c r="R6">
        <v>14.2</v>
      </c>
      <c r="T6">
        <f>B6*20+575</f>
        <v>535</v>
      </c>
    </row>
    <row r="7" spans="1:32" x14ac:dyDescent="0.45">
      <c r="A7">
        <v>515</v>
      </c>
      <c r="B7">
        <v>-3</v>
      </c>
      <c r="C7">
        <v>46.2</v>
      </c>
      <c r="E7">
        <v>0.2</v>
      </c>
      <c r="F7">
        <v>7.9</v>
      </c>
      <c r="H7">
        <v>9.9</v>
      </c>
      <c r="J7">
        <v>10.4</v>
      </c>
      <c r="L7">
        <v>11.8</v>
      </c>
      <c r="N7">
        <v>12.2</v>
      </c>
      <c r="P7">
        <v>13</v>
      </c>
      <c r="R7">
        <v>13.7</v>
      </c>
      <c r="T7">
        <f>B7*20+575</f>
        <v>515</v>
      </c>
      <c r="X7" t="s">
        <v>25</v>
      </c>
    </row>
    <row r="8" spans="1:32" x14ac:dyDescent="0.45">
      <c r="A8">
        <v>495</v>
      </c>
      <c r="B8">
        <v>-4</v>
      </c>
      <c r="C8">
        <v>43.8</v>
      </c>
      <c r="E8">
        <v>0.25</v>
      </c>
      <c r="F8">
        <v>5</v>
      </c>
      <c r="H8">
        <v>7.7</v>
      </c>
      <c r="J8">
        <v>8.1999999999999993</v>
      </c>
      <c r="L8">
        <v>9.9</v>
      </c>
      <c r="N8">
        <v>10.1</v>
      </c>
      <c r="P8">
        <v>11.3</v>
      </c>
      <c r="R8">
        <v>11.9</v>
      </c>
      <c r="T8">
        <f>B8*20+575</f>
        <v>495</v>
      </c>
      <c r="W8" s="5" t="s">
        <v>13</v>
      </c>
      <c r="X8" s="1">
        <v>1</v>
      </c>
      <c r="Y8" s="1">
        <v>2</v>
      </c>
      <c r="Z8" s="1">
        <v>3</v>
      </c>
      <c r="AA8" s="1">
        <v>4</v>
      </c>
      <c r="AB8" s="1">
        <v>5</v>
      </c>
      <c r="AC8" s="1">
        <v>6</v>
      </c>
      <c r="AD8" s="1">
        <v>7</v>
      </c>
      <c r="AE8" s="5" t="s">
        <v>14</v>
      </c>
    </row>
    <row r="9" spans="1:32" x14ac:dyDescent="0.45">
      <c r="A9">
        <v>475</v>
      </c>
      <c r="B9">
        <v>-5</v>
      </c>
      <c r="C9">
        <v>42.4</v>
      </c>
      <c r="E9">
        <v>0.3</v>
      </c>
      <c r="F9">
        <v>2.9</v>
      </c>
      <c r="H9">
        <v>5.7</v>
      </c>
      <c r="J9">
        <v>6.2</v>
      </c>
      <c r="L9">
        <v>7.7</v>
      </c>
      <c r="N9">
        <v>8.5</v>
      </c>
      <c r="P9">
        <v>9.9</v>
      </c>
      <c r="R9">
        <v>10</v>
      </c>
      <c r="T9">
        <f>B9*20+575</f>
        <v>475</v>
      </c>
      <c r="W9" s="5" t="s">
        <v>1</v>
      </c>
      <c r="X9" s="1">
        <v>1</v>
      </c>
      <c r="Y9" s="1">
        <v>0</v>
      </c>
      <c r="Z9" s="1">
        <v>-1</v>
      </c>
      <c r="AA9" s="1">
        <v>-2</v>
      </c>
      <c r="AB9" s="1">
        <v>-3</v>
      </c>
      <c r="AC9" s="1">
        <v>-4</v>
      </c>
      <c r="AD9" s="1">
        <v>-5</v>
      </c>
      <c r="AE9" s="1"/>
    </row>
    <row r="10" spans="1:32" x14ac:dyDescent="0.45">
      <c r="A10">
        <v>455</v>
      </c>
      <c r="B10">
        <v>-6</v>
      </c>
      <c r="C10">
        <v>4.0999999999999996</v>
      </c>
      <c r="E10">
        <v>0.35</v>
      </c>
      <c r="F10">
        <v>1.6</v>
      </c>
      <c r="H10">
        <v>3.9</v>
      </c>
      <c r="J10">
        <v>5</v>
      </c>
      <c r="L10">
        <v>6</v>
      </c>
      <c r="N10">
        <v>7.1</v>
      </c>
      <c r="P10">
        <v>8</v>
      </c>
      <c r="R10">
        <v>8.5</v>
      </c>
      <c r="T10">
        <f>B10*20+575</f>
        <v>455</v>
      </c>
      <c r="W10" s="5" t="s">
        <v>38</v>
      </c>
      <c r="X10" s="1">
        <v>595</v>
      </c>
      <c r="Y10" s="1">
        <v>575</v>
      </c>
      <c r="Z10" s="1">
        <v>555</v>
      </c>
      <c r="AA10" s="1">
        <v>535</v>
      </c>
      <c r="AB10" s="1">
        <v>515</v>
      </c>
      <c r="AC10" s="1">
        <v>495</v>
      </c>
      <c r="AD10" s="1">
        <v>475</v>
      </c>
      <c r="AE10" s="1"/>
    </row>
    <row r="11" spans="1:32" x14ac:dyDescent="0.45">
      <c r="A11">
        <v>435</v>
      </c>
      <c r="B11">
        <v>-7</v>
      </c>
      <c r="C11">
        <v>0</v>
      </c>
      <c r="E11">
        <v>0.4</v>
      </c>
      <c r="F11">
        <v>0.9</v>
      </c>
      <c r="H11">
        <v>2</v>
      </c>
      <c r="J11">
        <v>3.8</v>
      </c>
      <c r="L11">
        <v>4.2</v>
      </c>
      <c r="N11">
        <v>5.2</v>
      </c>
      <c r="P11">
        <v>6.3</v>
      </c>
      <c r="R11">
        <v>7.9</v>
      </c>
      <c r="T11">
        <f>B11*20+575</f>
        <v>435</v>
      </c>
      <c r="W11" s="5" t="s">
        <v>39</v>
      </c>
      <c r="X11" s="1">
        <f>1/X10*10^9</f>
        <v>1680672.2689075631</v>
      </c>
      <c r="Y11" s="1">
        <f t="shared" ref="Y11:AD11" si="0">1/Y10*10^9</f>
        <v>1739130.4347826086</v>
      </c>
      <c r="Z11" s="1">
        <f t="shared" si="0"/>
        <v>1801801.8018018019</v>
      </c>
      <c r="AA11" s="1">
        <f t="shared" si="0"/>
        <v>1869158.878504673</v>
      </c>
      <c r="AB11" s="1">
        <f t="shared" si="0"/>
        <v>1941747.572815534</v>
      </c>
      <c r="AC11" s="1">
        <f t="shared" si="0"/>
        <v>2020202.0202020202</v>
      </c>
      <c r="AD11" s="1">
        <f t="shared" si="0"/>
        <v>2105263.1578947366</v>
      </c>
      <c r="AE11" s="1">
        <f>SUM(X11:AD11)</f>
        <v>13157976.134908937</v>
      </c>
    </row>
    <row r="12" spans="1:32" x14ac:dyDescent="0.45">
      <c r="E12">
        <v>0.45</v>
      </c>
      <c r="F12">
        <v>0.13</v>
      </c>
      <c r="H12">
        <v>1.1000000000000001</v>
      </c>
      <c r="J12">
        <v>2.1</v>
      </c>
      <c r="L12">
        <v>3.8</v>
      </c>
      <c r="N12">
        <v>4</v>
      </c>
      <c r="P12">
        <v>5.8</v>
      </c>
      <c r="R12">
        <v>6.1</v>
      </c>
      <c r="W12" s="5" t="s">
        <v>35</v>
      </c>
      <c r="X12" s="1">
        <v>0.54</v>
      </c>
      <c r="Y12" s="1">
        <v>0.65</v>
      </c>
      <c r="Z12" s="1">
        <v>0.74</v>
      </c>
      <c r="AA12" s="1">
        <v>0.81</v>
      </c>
      <c r="AB12" s="1">
        <v>0.92</v>
      </c>
      <c r="AC12" s="1">
        <v>1.05</v>
      </c>
      <c r="AD12" s="1">
        <v>1.17</v>
      </c>
      <c r="AE12" s="1">
        <f t="shared" ref="AE12:AE14" si="1">SUM(X12:AD12)</f>
        <v>5.88</v>
      </c>
    </row>
    <row r="13" spans="1:32" x14ac:dyDescent="0.45">
      <c r="E13">
        <v>0.5</v>
      </c>
      <c r="F13">
        <v>4.2999999999999997E-2</v>
      </c>
      <c r="H13">
        <v>0.41</v>
      </c>
      <c r="J13">
        <v>1.1000000000000001</v>
      </c>
      <c r="L13">
        <v>2</v>
      </c>
      <c r="N13">
        <v>3</v>
      </c>
      <c r="P13">
        <v>4.0999999999999996</v>
      </c>
      <c r="R13">
        <v>5.8</v>
      </c>
      <c r="W13" s="6" t="s">
        <v>36</v>
      </c>
      <c r="X13" s="1">
        <v>0.53</v>
      </c>
      <c r="Y13" s="1">
        <v>0.64</v>
      </c>
      <c r="Z13" s="1">
        <v>0.73</v>
      </c>
      <c r="AA13" s="1">
        <v>0.79</v>
      </c>
      <c r="AB13" s="1">
        <v>0.91</v>
      </c>
      <c r="AC13" s="1">
        <v>1.01</v>
      </c>
      <c r="AD13" s="2">
        <v>1.1399999999999999</v>
      </c>
      <c r="AE13" s="1">
        <f>SUM(X13:AD13)</f>
        <v>5.75</v>
      </c>
    </row>
    <row r="14" spans="1:32" x14ac:dyDescent="0.45">
      <c r="E14">
        <v>0.55000000000000004</v>
      </c>
      <c r="F14">
        <v>2E-3</v>
      </c>
      <c r="H14">
        <v>0.18</v>
      </c>
      <c r="J14">
        <v>0.63</v>
      </c>
      <c r="L14">
        <v>1.1000000000000001</v>
      </c>
      <c r="N14">
        <v>2.4</v>
      </c>
      <c r="P14">
        <v>3.3</v>
      </c>
      <c r="R14">
        <v>4.0999999999999996</v>
      </c>
      <c r="W14" s="5" t="s">
        <v>37</v>
      </c>
      <c r="X14" s="1">
        <f>X11^2</f>
        <v>2824659275474.896</v>
      </c>
      <c r="Y14" s="1">
        <f>Y11^2</f>
        <v>3024574669187.1455</v>
      </c>
      <c r="Z14" s="1">
        <f>Z11^2</f>
        <v>3246489732976.2197</v>
      </c>
      <c r="AA14" s="1">
        <f>AA11^2</f>
        <v>3493754913092.8472</v>
      </c>
      <c r="AB14" s="1">
        <f>AB11^2</f>
        <v>3770383636535.0176</v>
      </c>
      <c r="AC14" s="1">
        <f>AC11^2</f>
        <v>4081216202428.3237</v>
      </c>
      <c r="AD14" s="1">
        <f>AD11^2</f>
        <v>4432132963988.9189</v>
      </c>
      <c r="AE14" s="1">
        <f>SUM(X14:AD14)</f>
        <v>24873211393683.367</v>
      </c>
    </row>
    <row r="15" spans="1:32" x14ac:dyDescent="0.45">
      <c r="E15">
        <v>0.6</v>
      </c>
      <c r="H15">
        <v>5.8000000000000003E-2</v>
      </c>
      <c r="J15">
        <v>0.309</v>
      </c>
      <c r="L15">
        <v>0.65800000000000003</v>
      </c>
      <c r="N15">
        <v>1.1000000000000001</v>
      </c>
      <c r="P15">
        <v>2.1</v>
      </c>
      <c r="R15">
        <v>3.2</v>
      </c>
      <c r="W15" s="5" t="s">
        <v>26</v>
      </c>
      <c r="X15" s="1">
        <f>X11*X12</f>
        <v>907563.02521008416</v>
      </c>
      <c r="Y15" s="1">
        <f>Y11*Y12</f>
        <v>1130434.7826086956</v>
      </c>
      <c r="Z15" s="1">
        <f>Z11*Z12</f>
        <v>1333333.3333333335</v>
      </c>
      <c r="AA15" s="1">
        <f>AA11*AA12</f>
        <v>1514018.6915887853</v>
      </c>
      <c r="AB15" s="1">
        <f>AB11*AB12</f>
        <v>1786407.7669902914</v>
      </c>
      <c r="AC15" s="1">
        <f>AC11*AC12</f>
        <v>2121212.1212121211</v>
      </c>
      <c r="AD15" s="1">
        <f>AD11*AD12</f>
        <v>2463157.8947368418</v>
      </c>
      <c r="AE15" s="1">
        <f>SUM(X15:AD15)</f>
        <v>11256127.615680153</v>
      </c>
    </row>
    <row r="16" spans="1:32" x14ac:dyDescent="0.45">
      <c r="E16">
        <v>0.65</v>
      </c>
      <c r="H16">
        <v>1.7999999999999999E-2</v>
      </c>
      <c r="J16">
        <v>0.11899999999999999</v>
      </c>
      <c r="L16">
        <v>0.38500000000000001</v>
      </c>
      <c r="N16">
        <v>0.9</v>
      </c>
      <c r="P16">
        <v>1.8</v>
      </c>
      <c r="R16">
        <v>2.2000000000000002</v>
      </c>
      <c r="W16" s="5" t="s">
        <v>27</v>
      </c>
      <c r="X16" s="1">
        <f>X11*X13</f>
        <v>890756.30252100842</v>
      </c>
      <c r="Y16" s="1">
        <f t="shared" ref="Y16:AD16" si="2">Y11*Y13</f>
        <v>1113043.4782608696</v>
      </c>
      <c r="Z16" s="1">
        <f t="shared" si="2"/>
        <v>1315315.3153153153</v>
      </c>
      <c r="AA16" s="1">
        <f t="shared" si="2"/>
        <v>1476635.5140186918</v>
      </c>
      <c r="AB16" s="1">
        <f t="shared" si="2"/>
        <v>1766990.2912621361</v>
      </c>
      <c r="AC16" s="1">
        <f t="shared" si="2"/>
        <v>2040404.0404040404</v>
      </c>
      <c r="AD16" s="1">
        <f t="shared" si="2"/>
        <v>2399999.9999999995</v>
      </c>
      <c r="AE16" s="2">
        <f>SUM(X16:AD16)</f>
        <v>11003144.941782061</v>
      </c>
    </row>
    <row r="17" spans="5:40" x14ac:dyDescent="0.45">
      <c r="E17">
        <v>0.7</v>
      </c>
      <c r="H17">
        <v>1E-3</v>
      </c>
      <c r="J17">
        <v>3.9E-2</v>
      </c>
      <c r="L17">
        <v>0.158</v>
      </c>
      <c r="N17">
        <v>0.46</v>
      </c>
      <c r="P17">
        <v>0.9</v>
      </c>
      <c r="R17">
        <v>1.9</v>
      </c>
    </row>
    <row r="18" spans="5:40" ht="18.600000000000001" thickBot="1" x14ac:dyDescent="0.5">
      <c r="E18">
        <v>0.75</v>
      </c>
      <c r="J18">
        <v>0.01</v>
      </c>
      <c r="L18">
        <v>6.2E-2</v>
      </c>
      <c r="N18">
        <v>0.27800000000000002</v>
      </c>
      <c r="P18">
        <v>0.62</v>
      </c>
      <c r="R18">
        <v>1.1000000000000001</v>
      </c>
      <c r="AG18" s="4"/>
      <c r="AH18" s="4" t="s">
        <v>33</v>
      </c>
      <c r="AI18" s="4"/>
      <c r="AJ18" s="4"/>
    </row>
    <row r="19" spans="5:40" x14ac:dyDescent="0.45">
      <c r="E19">
        <v>0.8</v>
      </c>
      <c r="J19">
        <v>0</v>
      </c>
      <c r="L19">
        <v>1.4999999999999999E-2</v>
      </c>
      <c r="N19">
        <v>0.11600000000000001</v>
      </c>
      <c r="P19">
        <v>0.34300000000000003</v>
      </c>
      <c r="R19">
        <v>0.872</v>
      </c>
      <c r="X19" t="s">
        <v>30</v>
      </c>
      <c r="AG19" t="s">
        <v>18</v>
      </c>
      <c r="AH19">
        <f>(7*AE15-AE11*AE12)/(7*AE14-(AE11)^2)</f>
        <v>1.4528415652374456E-6</v>
      </c>
      <c r="AI19" t="s">
        <v>21</v>
      </c>
      <c r="AJ19">
        <f>(7*AE16-AE11*AE13)/(7*AE14-(AE11)^2)</f>
        <v>1.3912773126974262E-6</v>
      </c>
    </row>
    <row r="20" spans="5:40" x14ac:dyDescent="0.45">
      <c r="E20">
        <v>0.85</v>
      </c>
      <c r="L20">
        <v>4.0000000000000001E-3</v>
      </c>
      <c r="N20">
        <v>5.1999999999999998E-2</v>
      </c>
      <c r="P20">
        <v>0.161</v>
      </c>
      <c r="R20">
        <v>0.54100000000000004</v>
      </c>
      <c r="W20" t="s">
        <v>28</v>
      </c>
      <c r="X20">
        <f>($AH$19*X11-$AH$20-X12)^2</f>
        <v>1.1725506790397663E-4</v>
      </c>
      <c r="Y20">
        <f>($AH$19*Y11-$AH$20-Y12)^2</f>
        <v>2.0280918167062286E-4</v>
      </c>
      <c r="Z20">
        <f>($AH$19*Z11-$AH$20-Z12)^2</f>
        <v>1.7396401574462005E-4</v>
      </c>
      <c r="AA20">
        <f>($AH$19*AA11-$AH$20-AA12)^2</f>
        <v>2.1519771687428246E-4</v>
      </c>
      <c r="AB20">
        <f>($AH$19*AB11-$AH$20-AB12)^2</f>
        <v>1.0260658994267488E-4</v>
      </c>
      <c r="AC20">
        <f>($AH$19*AC11-$AH$20-AC12)^2</f>
        <v>3.4675925110256645E-5</v>
      </c>
      <c r="AD20">
        <f>($AH$19*AD11-$AH$20-AD12)^2</f>
        <v>5.3281119298776805E-6</v>
      </c>
      <c r="AE20">
        <f>SUM(X20:AD20)</f>
        <v>8.518366091763113E-4</v>
      </c>
      <c r="AG20" t="s">
        <v>15</v>
      </c>
      <c r="AH20">
        <f>(AE11*AE15-AE14*AE12)/(7*AE14-(AE11)^2)</f>
        <v>1.890922091885445</v>
      </c>
      <c r="AI20" t="s">
        <v>15</v>
      </c>
      <c r="AJ20">
        <f>(AE11*AE16-AE14*AE13)/(7*AE14-(AE11)^2)</f>
        <v>1.7937705253589813</v>
      </c>
    </row>
    <row r="21" spans="5:40" x14ac:dyDescent="0.45">
      <c r="E21">
        <v>0.9</v>
      </c>
      <c r="N21">
        <v>1.4999999999999999E-2</v>
      </c>
      <c r="P21">
        <v>7.9000000000000001E-2</v>
      </c>
      <c r="R21">
        <v>0.35899999999999999</v>
      </c>
      <c r="W21" t="s">
        <v>29</v>
      </c>
      <c r="X21">
        <f>($AJ$19*X11-$AJ$20-X13)^2</f>
        <v>2.1055961500398288E-4</v>
      </c>
      <c r="Y21">
        <f>($AJ$19*Y11-$AJ$20-Y13)^2</f>
        <v>2.0044351672745332E-4</v>
      </c>
      <c r="Z21">
        <f>($AJ$19*Z11-$AJ$20-Z13)^2</f>
        <v>2.8779617842207886E-4</v>
      </c>
      <c r="AA21">
        <f>($AJ$19*AA11-$AJ$20-AA13)^2</f>
        <v>2.804893451757069E-4</v>
      </c>
      <c r="AB21">
        <f>($AJ$19*AB11-$AJ$20-AB13)^2</f>
        <v>5.1129364189126674E-6</v>
      </c>
      <c r="AC21">
        <f>($AJ$19*AC11-$AJ$20-AC13)^2</f>
        <v>4.7481917566897647E-5</v>
      </c>
      <c r="AD21">
        <f>($AJ$19*AD11-$AJ$20-AD13)^2</f>
        <v>2.2711482088489622E-5</v>
      </c>
      <c r="AE21">
        <f>SUM(X21:AD21)</f>
        <v>1.0545949914035221E-3</v>
      </c>
      <c r="AM21" t="s">
        <v>19</v>
      </c>
      <c r="AN21">
        <f>2.99792458*10^8</f>
        <v>299792458</v>
      </c>
    </row>
    <row r="22" spans="5:40" x14ac:dyDescent="0.45">
      <c r="E22">
        <v>0.95</v>
      </c>
      <c r="N22">
        <v>5.0000000000000001E-3</v>
      </c>
      <c r="P22">
        <v>0.04</v>
      </c>
      <c r="R22">
        <v>0.21299999999999999</v>
      </c>
      <c r="AG22" t="s">
        <v>31</v>
      </c>
      <c r="AH22">
        <f>AH19*(AN22)/AN21</f>
        <v>7.764400114294109E-34</v>
      </c>
      <c r="AI22" t="s">
        <v>16</v>
      </c>
      <c r="AJ22">
        <f>AJ19*(AN22)/AN21</f>
        <v>7.4353831719821391E-34</v>
      </c>
      <c r="AM22" t="s">
        <v>20</v>
      </c>
      <c r="AN22">
        <f>1.602176487*10^-19</f>
        <v>1.6021764869999998E-19</v>
      </c>
    </row>
    <row r="23" spans="5:40" ht="18.600000000000001" thickBot="1" x14ac:dyDescent="0.5">
      <c r="E23">
        <v>1</v>
      </c>
      <c r="P23">
        <v>1.9E-2</v>
      </c>
      <c r="R23">
        <v>0.11899999999999999</v>
      </c>
      <c r="AG23" s="4" t="s">
        <v>32</v>
      </c>
      <c r="AH23" s="4">
        <f>AN22*AH20</f>
        <v>3.0295909143677131E-19</v>
      </c>
      <c r="AI23" s="4" t="s">
        <v>17</v>
      </c>
      <c r="AJ23" s="4">
        <f>AN22*AJ20</f>
        <v>2.8739369588037967E-19</v>
      </c>
    </row>
    <row r="24" spans="5:40" x14ac:dyDescent="0.45">
      <c r="E24">
        <v>1.05</v>
      </c>
      <c r="P24">
        <v>0.01</v>
      </c>
      <c r="R24">
        <v>5.8000000000000003E-2</v>
      </c>
    </row>
    <row r="25" spans="5:40" x14ac:dyDescent="0.45">
      <c r="E25">
        <v>1.1000000000000001</v>
      </c>
      <c r="P25">
        <v>5.0000000000000001E-3</v>
      </c>
      <c r="R25">
        <v>0.03</v>
      </c>
      <c r="AG25" s="3"/>
      <c r="AH25" s="3"/>
      <c r="AI25" s="3"/>
      <c r="AJ25" s="3"/>
    </row>
    <row r="26" spans="5:40" ht="18.600000000000001" thickBot="1" x14ac:dyDescent="0.5">
      <c r="E26">
        <v>1.1499999999999999</v>
      </c>
      <c r="R26">
        <v>1.7999999999999999E-2</v>
      </c>
      <c r="AG26" s="4"/>
      <c r="AH26" s="4" t="s">
        <v>30</v>
      </c>
      <c r="AI26" s="4"/>
      <c r="AJ26" s="4"/>
    </row>
    <row r="27" spans="5:40" x14ac:dyDescent="0.45">
      <c r="E27">
        <v>1.2</v>
      </c>
      <c r="R27">
        <v>5.0000000000000001E-3</v>
      </c>
      <c r="AG27" t="s">
        <v>22</v>
      </c>
      <c r="AH27">
        <f>((1/5)*AE20)^(1/2)</f>
        <v>1.3052483358934509E-2</v>
      </c>
      <c r="AI27" t="s">
        <v>22</v>
      </c>
      <c r="AJ27">
        <f>((1/5)*AE21)^(1/2)</f>
        <v>1.4523050584526118E-2</v>
      </c>
    </row>
    <row r="28" spans="5:40" x14ac:dyDescent="0.45">
      <c r="E28">
        <v>1.25</v>
      </c>
      <c r="AG28" t="s">
        <v>23</v>
      </c>
      <c r="AH28">
        <f>AH27*((7/(7*AE14-AE11^2))^(1/2))</f>
        <v>3.4881670240403741E-8</v>
      </c>
      <c r="AI28" t="s">
        <v>23</v>
      </c>
      <c r="AJ28">
        <f>AJ27*((7/(7*AE14-AE11^2))^(1/2))</f>
        <v>3.8811638172086232E-8</v>
      </c>
    </row>
    <row r="29" spans="5:40" ht="18.600000000000001" thickBot="1" x14ac:dyDescent="0.5">
      <c r="E29">
        <v>1.3</v>
      </c>
      <c r="AG29" s="4" t="s">
        <v>24</v>
      </c>
      <c r="AH29" s="4">
        <f>AH27*((AE14/(7*AE14-AE11^2))^(1/2))</f>
        <v>6.5752789567716352E-2</v>
      </c>
      <c r="AI29" s="4" t="s">
        <v>24</v>
      </c>
      <c r="AJ29" s="4">
        <f>AJ27*((AE14/(7*AE14-AE11^2))^(1/2))</f>
        <v>7.3160873889334579E-2</v>
      </c>
    </row>
    <row r="30" spans="5:40" x14ac:dyDescent="0.45">
      <c r="E30">
        <v>1.35</v>
      </c>
    </row>
    <row r="31" spans="5:40" x14ac:dyDescent="0.45">
      <c r="E31">
        <v>1.4</v>
      </c>
    </row>
    <row r="32" spans="5:40" x14ac:dyDescent="0.45">
      <c r="E32">
        <v>1.45</v>
      </c>
    </row>
    <row r="33" spans="5:5" x14ac:dyDescent="0.45">
      <c r="E33">
        <v>1.5</v>
      </c>
    </row>
    <row r="34" spans="5:5" x14ac:dyDescent="0.45">
      <c r="E34">
        <v>1.55</v>
      </c>
    </row>
    <row r="35" spans="5:5" x14ac:dyDescent="0.45">
      <c r="E35">
        <v>1.6</v>
      </c>
    </row>
    <row r="36" spans="5:5" x14ac:dyDescent="0.45">
      <c r="E36">
        <v>1.65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PhysExp</dc:creator>
  <cp:lastModifiedBy>PhysExp</cp:lastModifiedBy>
  <dcterms:created xsi:type="dcterms:W3CDTF">2026-06-26T04:35:19Z</dcterms:created>
  <dcterms:modified xsi:type="dcterms:W3CDTF">2026-07-03T07:32:46Z</dcterms:modified>
</cp:coreProperties>
</file>